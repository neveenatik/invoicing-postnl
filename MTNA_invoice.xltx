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7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tik/Documents/projects/invoicing-postnl/"/>
    </mc:Choice>
  </mc:AlternateContent>
  <xr:revisionPtr revIDLastSave="0" documentId="13_ncr:1_{A9037944-50F9-B644-BBAE-F9F4DD1D0690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Invoice" sheetId="1" r:id="rId1"/>
  </sheets>
  <definedNames>
    <definedName name="Company_Name">Invoice!$B$2</definedName>
    <definedName name="_xlnm.Print_Titles" localSheetId="0">Invoice!$13:$13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" l="1"/>
  <c r="B7" i="1"/>
  <c r="E14" i="1"/>
  <c r="B20" i="1"/>
  <c r="E16" i="1" l="1"/>
  <c r="E19" i="1" s="1"/>
</calcChain>
</file>

<file path=xl/sharedStrings.xml><?xml version="1.0" encoding="utf-8"?>
<sst xmlns="http://schemas.openxmlformats.org/spreadsheetml/2006/main" count="26" uniqueCount="26">
  <si>
    <t>BILL TO</t>
  </si>
  <si>
    <t>AMOUNT</t>
  </si>
  <si>
    <t>SUBTOTAL</t>
  </si>
  <si>
    <t>TAX RATE</t>
  </si>
  <si>
    <t>TOTAL</t>
  </si>
  <si>
    <t>THANK YOU FOR YOUR BUSINESS!</t>
  </si>
  <si>
    <t>If you have any questions concerning this invoice, use the following contact information:</t>
  </si>
  <si>
    <t>MTNA</t>
  </si>
  <si>
    <t>Zilverberg 154
1025 CK Amsterdam</t>
  </si>
  <si>
    <t>(+31)0620481000</t>
  </si>
  <si>
    <t>Maher Tawila, Mobile: (+31) 06 2048 1000, Email: mhr.tawila@gmail.com</t>
  </si>
  <si>
    <t>WEEK NO.</t>
  </si>
  <si>
    <t>BTW: 379957735B01</t>
  </si>
  <si>
    <t>KvK: 89997379</t>
  </si>
  <si>
    <t>HOURS</t>
  </si>
  <si>
    <t>Synensis Uitzendbureau B.V.</t>
  </si>
  <si>
    <t>KvK:  08160908</t>
  </si>
  <si>
    <t>BTWnr: 818134185B01</t>
  </si>
  <si>
    <t xml:space="preserve">BTW </t>
  </si>
  <si>
    <t xml:space="preserve">Please pay within 14 days of the invoice date, stating the invoice number and customer name.
Transfer to: NL18 ABNA 0121 0593 40. </t>
  </si>
  <si>
    <t>${invoiceNumber}</t>
  </si>
  <si>
    <t>${table:records.weekOfYear}</t>
  </si>
  <si>
    <t>${table:records.hours}</t>
  </si>
  <si>
    <t>Hoofdstraat 19c
7311 JS Apeldoorn</t>
  </si>
  <si>
    <t>${table:records.price}</t>
  </si>
  <si>
    <t>Price 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</si>
</sst>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&lt;=9999999]###\-####;\(###\)\ ###\-####"/>
    <numFmt numFmtId="165" formatCode="dd/mm/yyyy;@"/>
    <numFmt numFmtId="166" formatCode="[$£-809]#,##0.00"/>
    <numFmt numFmtId="167" formatCode="[$€-413]\ #,##0.00"/>
  </numFmts>
  <fonts count="5" x14ac:knownFonts="1">
    <font>
      <sz val="11"/>
      <color theme="4"/>
      <name val="Arial"/>
      <family val="2"/>
      <scheme val="minor"/>
    </font>
    <font>
      <sz val="29"/>
      <color theme="5"/>
      <name val="Georgia"/>
      <family val="2"/>
      <scheme val="major"/>
    </font>
    <font>
      <b/>
      <sz val="12"/>
      <color theme="4"/>
      <name val="Arial"/>
      <family val="2"/>
      <scheme val="minor"/>
    </font>
    <font>
      <sz val="15"/>
      <color theme="5"/>
      <name val="Georgia"/>
      <family val="1"/>
      <scheme val="major"/>
    </font>
    <font>
      <sz val="11"/>
      <color theme="4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2">
    <xf numFmtId="0" fontId="0" fillId="0" borderId="0">
      <alignment horizontal="left" wrapText="1"/>
    </xf>
    <xf numFmtId="0" fontId="1" fillId="0" borderId="0" applyNumberFormat="0" applyFill="0" applyBorder="0" applyProtection="0"/>
    <xf numFmtId="0" fontId="2" fillId="0" borderId="0" applyNumberFormat="0" applyFill="0" applyBorder="0" applyProtection="0">
      <alignment horizontal="left"/>
    </xf>
    <xf numFmtId="0" fontId="3" fillId="0" borderId="0" applyNumberFormat="0" applyFill="0" applyBorder="0" applyProtection="0"/>
    <xf numFmtId="0" fontId="4" fillId="0" borderId="0" applyNumberFormat="0" applyFill="0" applyBorder="0" applyProtection="0">
      <alignment horizontal="right" indent="1"/>
    </xf>
    <xf numFmtId="0" fontId="2" fillId="0" borderId="0" applyNumberFormat="0" applyFill="0" applyBorder="0" applyProtection="0"/>
    <xf numFmtId="10" fontId="4" fillId="2" borderId="0" applyFont="0" applyBorder="0" applyAlignment="0" applyProtection="0">
      <alignment horizontal="left"/>
    </xf>
    <xf numFmtId="165" fontId="2" fillId="0" borderId="0" applyFill="0" applyBorder="0">
      <alignment horizontal="left"/>
    </xf>
    <xf numFmtId="166" fontId="4" fillId="2" borderId="0" applyFont="0" applyBorder="0" applyAlignment="0" applyProtection="0">
      <alignment horizontal="left"/>
    </xf>
    <xf numFmtId="0" fontId="4" fillId="0" borderId="0">
      <alignment horizontal="left" wrapText="1"/>
    </xf>
    <xf numFmtId="0" fontId="4" fillId="0" borderId="0">
      <alignment horizontal="left" vertical="top" wrapText="1"/>
    </xf>
    <xf numFmtId="164" fontId="4" fillId="0" borderId="0" applyFont="0" applyFill="0" applyBorder="0" applyAlignment="0">
      <alignment horizontal="left"/>
    </xf>
  </cellStyleXfs>
  <cellXfs count="17">
    <xf numFmtId="0" fontId="0" fillId="0" borderId="0" xfId="0">
      <alignment horizontal="left" wrapText="1"/>
    </xf>
    <xf numFmtId="0" fontId="2" fillId="0" borderId="0" xfId="2">
      <alignment horizontal="left"/>
    </xf>
    <xf numFmtId="0" fontId="2" fillId="0" borderId="0" xfId="5"/>
    <xf numFmtId="165" fontId="2" fillId="0" borderId="0" xfId="7">
      <alignment horizontal="left"/>
    </xf>
    <xf numFmtId="0" fontId="4" fillId="0" borderId="0" xfId="4">
      <alignment horizontal="right" indent="1"/>
    </xf>
    <xf numFmtId="0" fontId="3" fillId="0" borderId="0" xfId="3"/>
    <xf numFmtId="0" fontId="1" fillId="0" borderId="0" xfId="1"/>
    <xf numFmtId="0" fontId="2" fillId="0" borderId="0" xfId="5" applyFill="1" applyBorder="1"/>
    <xf numFmtId="164" fontId="0" fillId="0" borderId="0" xfId="11" applyFont="1">
      <alignment horizontal="left"/>
    </xf>
    <xf numFmtId="167" fontId="0" fillId="2" borderId="0" xfId="8" applyNumberFormat="1" applyFont="1" applyBorder="1">
      <alignment horizontal="left"/>
    </xf>
    <xf numFmtId="167" fontId="0" fillId="2" borderId="0" xfId="8" applyNumberFormat="1" applyFont="1">
      <alignment horizontal="left"/>
    </xf>
    <xf numFmtId="10" fontId="0" fillId="2" borderId="0" xfId="6" applyFont="1">
      <alignment horizontal="left"/>
    </xf>
    <xf numFmtId="0" fontId="0" fillId="0" borderId="0" xfId="4" applyFont="1">
      <alignment horizontal="right" indent="1"/>
    </xf>
    <xf numFmtId="167" fontId="0" fillId="2" borderId="0" xfId="6" applyNumberFormat="1" applyFont="1">
      <alignment horizontal="left"/>
    </xf>
    <xf numFmtId="0" fontId="4" fillId="0" borderId="0" xfId="10" applyAlignment="1">
      <alignment vertical="top" wrapText="1"/>
    </xf>
    <xf numFmtId="0" fontId="4" fillId="0" borderId="0" xfId="9" applyAlignment="1"/>
    <xf numFmtId="0" fontId="0" fillId="0" borderId="0" xfId="9" applyFont="1" applyAlignment="1"/>
  </cellXfs>
  <cellStyles count="12">
    <cellStyle name="Currency" xfId="8" builtinId="4" customBuiltin="1"/>
    <cellStyle name="Date" xfId="7" xr:uid="{00000000-0005-0000-0000-000001000000}"/>
    <cellStyle name="Explanatory Text" xfId="9" builtinId="53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Per cent" xfId="6" builtinId="5" customBuiltin="1"/>
    <cellStyle name="Phone" xfId="11" xr:uid="{00000000-0005-0000-0000-000009000000}"/>
    <cellStyle name="Product Description" xfId="10" xr:uid="{00000000-0005-0000-0000-00000A000000}"/>
    <cellStyle name="Title" xfId="1" builtinId="15" customBuiltin="1"/>
  </cellStyles>
  <dxfs count="7">
    <dxf>
      <numFmt numFmtId="167" formatCode="[$€-413]\ #,##0.00"/>
    </dxf>
    <dxf>
      <font>
        <b/>
        <i val="0"/>
        <color theme="4"/>
      </font>
      <fill>
        <patternFill>
          <bgColor theme="2"/>
        </patternFill>
      </fill>
    </dxf>
    <dxf>
      <fill>
        <patternFill patternType="none">
          <bgColor auto="1"/>
        </patternFill>
      </fill>
    </dxf>
    <dxf>
      <font>
        <b val="0"/>
        <i val="0"/>
        <color theme="4"/>
      </font>
      <fill>
        <patternFill>
          <bgColor theme="2"/>
        </patternFill>
      </fill>
    </dxf>
    <dxf>
      <font>
        <b/>
        <i val="0"/>
        <color theme="4"/>
      </font>
      <border>
        <bottom style="thin">
          <color theme="4" tint="0.39994506668294322"/>
        </bottom>
      </border>
    </dxf>
    <dxf>
      <font>
        <b/>
        <i val="0"/>
        <color theme="4"/>
      </font>
      <border>
        <bottom style="thin">
          <color theme="0"/>
        </bottom>
      </border>
    </dxf>
    <dxf>
      <font>
        <b val="0"/>
        <i val="0"/>
        <color theme="4"/>
      </font>
      <border>
        <bottom style="thin">
          <color theme="3" tint="0.499984740745262"/>
        </bottom>
        <horizontal style="thin">
          <color theme="3" tint="0.499984740745262"/>
        </horizontal>
      </border>
    </dxf>
  </dxfs>
  <tableStyles count="1" defaultTableStyle="Invoice" defaultPivotStyle="PivotStyleLight16">
    <tableStyle name="Invoice" pivot="0" count="6" xr9:uid="{00000000-0011-0000-FFFF-FFFF00000000}">
      <tableStyleElement type="wholeTable" dxfId="6"/>
      <tableStyleElement type="headerRow" dxfId="5"/>
      <tableStyleElement type="totalRow" dxfId="4"/>
      <tableStyleElement type="lastColumn" dxfId="3"/>
      <tableStyleElement type="lastHeaderCell" dxfId="2"/>
      <tableStyleElement type="lastTotalCell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Details" displayName="InvoiceDetails" ref="B13:E14" headerRowCellStyle="Heading 4">
  <autoFilter ref="B13:E14" xr:uid="{00000000-0009-0000-0100-000001000000}"/>
  <tableColumns count="4">
    <tableColumn id="1" xr3:uid="{00000000-0010-0000-0000-000001000000}" name="WEEK NO." totalsRowLabel="Total" dataCellStyle="Normal"/>
    <tableColumn id="3" xr3:uid="{9D298594-278A-6047-8A7E-6980CA88F93D}" name="HOURS"/>
    <tableColumn id="4" xr3:uid="{36D65336-C0CF-9846-848B-5770AC088B50}" name="Price €"/>
    <tableColumn id="2" xr3:uid="{00000000-0010-0000-0000-000002000000}" name="AMOUNT" totalsRowFunction="sum" dataDxfId="0" dataCellStyle="Currency">
      <calculatedColumnFormula>InvoiceDetails[[#This Row],[HOURS]]*InvoiceDetails[[#This Row],[Price €]]*1.45</calculatedColumnFormula>
    </tableColumn>
  </tableColumns>
  <tableStyleInfo name="Invoice" showFirstColumn="0" showLastColumn="1" showRowStripes="1" showColumnStripes="0"/>
  <extLst>
    <ext xmlns:x14="http://schemas.microsoft.com/office/spreadsheetml/2009/9/main" uri="{504A1905-F514-4f6f-8877-14C23A59335A}">
      <x14:table altTextSummary="Invoice Detail table for information about invoice items including a description of each invoice item and its amount"/>
    </ext>
  </extLst>
</table>
</file>

<file path=xl/theme/theme1.xml><?xml version="1.0" encoding="utf-8"?>
<a:theme xmlns:a="http://schemas.openxmlformats.org/drawingml/2006/main" name="Office Theme">
  <a:themeElements>
    <a:clrScheme name="Invoice">
      <a:dk1>
        <a:sysClr val="windowText" lastClr="000000"/>
      </a:dk1>
      <a:lt1>
        <a:sysClr val="window" lastClr="FFFFFF"/>
      </a:lt1>
      <a:dk2>
        <a:srgbClr val="181709"/>
      </a:dk2>
      <a:lt2>
        <a:srgbClr val="FBFCFB"/>
      </a:lt2>
      <a:accent1>
        <a:srgbClr val="615A22"/>
      </a:accent1>
      <a:accent2>
        <a:srgbClr val="A85914"/>
      </a:accent2>
      <a:accent3>
        <a:srgbClr val="958869"/>
      </a:accent3>
      <a:accent4>
        <a:srgbClr val="DEA117"/>
      </a:accent4>
      <a:accent5>
        <a:srgbClr val="5E858C"/>
      </a:accent5>
      <a:accent6>
        <a:srgbClr val="66424D"/>
      </a:accent6>
      <a:hlink>
        <a:srgbClr val="459CA3"/>
      </a:hlink>
      <a:folHlink>
        <a:srgbClr val="875766"/>
      </a:folHlink>
    </a:clrScheme>
    <a:fontScheme name="Invoice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E24"/>
  <sheetViews>
    <sheetView showGridLines="0" tabSelected="1" view="pageBreakPreview" topLeftCell="A7" zoomScale="125" zoomScaleNormal="100" workbookViewId="0">
      <selection activeCell="E17" sqref="E17"/>
    </sheetView>
  </sheetViews>
  <sheetFormatPr baseColWidth="10" defaultColWidth="8.83203125" defaultRowHeight="30" customHeight="1" x14ac:dyDescent="0.15"/>
  <cols>
    <col min="1" max="1" width="2.6640625" customWidth="1"/>
    <col min="2" max="3" width="50.6640625" customWidth="1"/>
    <col min="4" max="4" width="19.5" customWidth="1"/>
    <col min="5" max="5" width="30.6640625" customWidth="1"/>
    <col min="6" max="6" width="2.6640625" customWidth="1"/>
  </cols>
  <sheetData>
    <row r="1" spans="2:5" ht="30" customHeight="1" x14ac:dyDescent="0.2">
      <c r="B1" s="1" t="s">
        <v>20</v>
      </c>
      <c r="C1" s="1"/>
      <c r="D1" s="1"/>
    </row>
    <row r="2" spans="2:5" ht="50" customHeight="1" x14ac:dyDescent="0.35">
      <c r="B2" s="6" t="s">
        <v>7</v>
      </c>
      <c r="C2" s="6"/>
      <c r="D2" s="6"/>
    </row>
    <row r="3" spans="2:5" ht="30" customHeight="1" x14ac:dyDescent="0.15">
      <c r="B3" t="s">
        <v>8</v>
      </c>
    </row>
    <row r="4" spans="2:5" ht="18" customHeight="1" x14ac:dyDescent="0.15">
      <c r="B4" s="8" t="s">
        <v>9</v>
      </c>
      <c r="C4" s="8"/>
      <c r="D4" s="8"/>
    </row>
    <row r="5" spans="2:5" ht="18" customHeight="1" x14ac:dyDescent="0.15">
      <c r="B5" s="8" t="s">
        <v>13</v>
      </c>
      <c r="C5" s="8"/>
      <c r="D5" s="8"/>
    </row>
    <row r="6" spans="2:5" ht="18" customHeight="1" x14ac:dyDescent="0.15">
      <c r="B6" s="8" t="s">
        <v>12</v>
      </c>
      <c r="C6" s="8"/>
      <c r="D6" s="8"/>
    </row>
    <row r="7" spans="2:5" ht="25" customHeight="1" x14ac:dyDescent="0.2">
      <c r="B7" s="3" t="str">
        <f ca="1">"DATE " &amp; TEXT(NOW(), "dd-mm-yyyy")</f>
        <v>DATE 19-01-2025</v>
      </c>
      <c r="C7" s="3"/>
      <c r="D7" s="3"/>
    </row>
    <row r="8" spans="2:5" ht="30" customHeight="1" x14ac:dyDescent="0.2">
      <c r="B8" s="5" t="s">
        <v>0</v>
      </c>
      <c r="C8" s="5"/>
      <c r="D8" s="5"/>
      <c r="E8" s="5"/>
    </row>
    <row r="9" spans="2:5" ht="18" customHeight="1" x14ac:dyDescent="0.15">
      <c r="B9" t="s">
        <v>15</v>
      </c>
      <c r="E9" s="14"/>
    </row>
    <row r="10" spans="2:5" ht="30" customHeight="1" x14ac:dyDescent="0.15">
      <c r="B10" t="s">
        <v>23</v>
      </c>
      <c r="E10" s="14"/>
    </row>
    <row r="11" spans="2:5" ht="18" customHeight="1" x14ac:dyDescent="0.15">
      <c r="B11" s="8" t="s">
        <v>16</v>
      </c>
      <c r="C11" s="8"/>
      <c r="D11" s="8"/>
      <c r="E11" s="14"/>
    </row>
    <row r="12" spans="2:5" ht="18" customHeight="1" x14ac:dyDescent="0.15">
      <c r="B12" s="8" t="s">
        <v>17</v>
      </c>
      <c r="C12" s="8"/>
      <c r="D12" s="8"/>
      <c r="E12" s="14"/>
    </row>
    <row r="13" spans="2:5" ht="30" customHeight="1" x14ac:dyDescent="0.2">
      <c r="B13" s="2" t="s">
        <v>11</v>
      </c>
      <c r="C13" s="2" t="s">
        <v>14</v>
      </c>
      <c r="D13" s="2" t="s">
        <v>25</v>
      </c>
      <c r="E13" s="7" t="s">
        <v>1</v>
      </c>
    </row>
    <row r="14" spans="2:5" ht="30" customHeight="1" x14ac:dyDescent="0.15">
      <c r="B14" t="s">
        <v>21</v>
      </c>
      <c r="C14" t="s">
        <v>22</v>
      </c>
      <c r="D14" t="s">
        <v>24</v>
      </c>
      <c r="E14" s="9" t="e">
        <f>InvoiceDetails[[#This Row],[HOURS]]*InvoiceDetails[[#This Row],[Price €]]*1.45</f>
        <v>#VALUE!</v>
      </c>
    </row>
    <row r="15" spans="2:5" ht="30" customHeight="1" x14ac:dyDescent="0.15">
      <c r="E15" s="9"/>
    </row>
    <row r="16" spans="2:5" ht="30" customHeight="1" x14ac:dyDescent="0.15">
      <c r="B16" s="4"/>
      <c r="D16" s="4" t="s">
        <v>2</v>
      </c>
      <c r="E16" s="10" t="str">
        <f>IFERROR(SUM(InvoiceDetails[AMOUNT]), "")</f>
        <v/>
      </c>
    </row>
    <row r="17" spans="2:5" ht="30" customHeight="1" x14ac:dyDescent="0.15">
      <c r="B17" s="4"/>
      <c r="D17" s="4" t="s">
        <v>3</v>
      </c>
      <c r="E17" s="11">
        <v>0.21</v>
      </c>
    </row>
    <row r="18" spans="2:5" ht="30" customHeight="1" x14ac:dyDescent="0.15">
      <c r="B18" s="4"/>
      <c r="D18" s="12" t="s">
        <v>18</v>
      </c>
      <c r="E18" s="13" t="str">
        <f>IFERROR(E$19-E$16, "")</f>
        <v/>
      </c>
    </row>
    <row r="19" spans="2:5" ht="30" customHeight="1" x14ac:dyDescent="0.15">
      <c r="B19" s="4"/>
      <c r="D19" s="4" t="s">
        <v>4</v>
      </c>
      <c r="E19" s="10" t="str">
        <f>IFERROR(E$16*(1+E$17), "")</f>
        <v/>
      </c>
    </row>
    <row r="20" spans="2:5" ht="30" customHeight="1" x14ac:dyDescent="0.15">
      <c r="B20" s="15" t="str">
        <f>"All checks payable to " &amp;Company_Name</f>
        <v>All checks payable to MTNA</v>
      </c>
      <c r="C20" s="15"/>
      <c r="D20" s="15"/>
      <c r="E20" s="15"/>
    </row>
    <row r="21" spans="2:5" ht="30" customHeight="1" x14ac:dyDescent="0.15">
      <c r="B21" s="16" t="s">
        <v>19</v>
      </c>
      <c r="C21" s="15"/>
      <c r="D21" s="15"/>
      <c r="E21" s="15"/>
    </row>
    <row r="22" spans="2:5" ht="30" customHeight="1" x14ac:dyDescent="0.15">
      <c r="B22" s="15" t="s">
        <v>6</v>
      </c>
      <c r="C22" s="15"/>
      <c r="D22" s="15"/>
      <c r="E22" s="15"/>
    </row>
    <row r="23" spans="2:5" ht="30" customHeight="1" x14ac:dyDescent="0.15">
      <c r="B23" s="15" t="s">
        <v>10</v>
      </c>
      <c r="C23" s="15"/>
      <c r="D23" s="15"/>
      <c r="E23" s="15"/>
    </row>
    <row r="24" spans="2:5" ht="30" customHeight="1" x14ac:dyDescent="0.2">
      <c r="B24" s="2" t="s">
        <v>5</v>
      </c>
      <c r="C24" s="2"/>
      <c r="D24" s="2"/>
    </row>
  </sheetData>
  <printOptions horizontalCentered="1"/>
  <pageMargins left="0.4" right="0.4" top="0.4" bottom="0.4" header="0.3" footer="0.3"/>
  <pageSetup paperSize="9" scale="58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TM10000050</Templat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Invoice</vt:lpstr>
      <vt:lpstr>Company_Name</vt:lpstr>
      <vt:lpstr>Invoice!Print_Titles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Atik, Neveen</cp:lastModifiedBy>
  <cp:lastPrinted>2023-05-05T04:39:38Z</cp:lastPrinted>
  <dcterms:created xsi:type="dcterms:W3CDTF">2017-02-03T09:12:23Z</dcterms:created>
  <dcterms:modified xsi:type="dcterms:W3CDTF">2025-01-19T17:35:35Z</dcterms:modified>
</cp:coreProperties>
</file>