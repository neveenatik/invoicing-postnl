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7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ik/Documents/projects/invoicing-postnl/"/>
    </mc:Choice>
  </mc:AlternateContent>
  <xr:revisionPtr revIDLastSave="0" documentId="8_{8536E946-ADDA-7F41-9154-0B186A32C213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Invoice" sheetId="1" r:id="rId1"/>
  </sheets>
  <definedNames>
    <definedName name="Company_Name">Invoice!$B$2</definedName>
    <definedName name="_xlnm.Print_Titles" localSheetId="0">Invoice!$13:$13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B20" i="1"/>
  <c r="D16" i="1" l="1"/>
  <c r="D19" i="1" s="1"/>
  <c r="D18" i="1" s="1"/>
</calcChain>
</file>

<file path=xl/sharedStrings.xml><?xml version="1.0" encoding="utf-8"?>
<sst xmlns="http://schemas.openxmlformats.org/spreadsheetml/2006/main" count="25" uniqueCount="25">
  <si>
    <t>BILL TO</t>
  </si>
  <si>
    <t>AMOUNT</t>
  </si>
  <si>
    <t>SUBTOTAL</t>
  </si>
  <si>
    <t>TAX RATE</t>
  </si>
  <si>
    <t>TOTAL</t>
  </si>
  <si>
    <t>THANK YOU FOR YOUR BUSINESS!</t>
  </si>
  <si>
    <t>If you have any questions concerning this invoice, use the following contact information:</t>
  </si>
  <si>
    <t>MTNA</t>
  </si>
  <si>
    <t>Zilverberg 154
1025 CK Amsterdam</t>
  </si>
  <si>
    <t>(+31)0620481000</t>
  </si>
  <si>
    <t>Maher Tawila, Mobile: (+31) 06 2048 1000, Email: mhr.tawila@gmail.com</t>
  </si>
  <si>
    <t>WEEK NO.</t>
  </si>
  <si>
    <t>BTW: 379957735B01</t>
  </si>
  <si>
    <t>KvK: 89997379</t>
  </si>
  <si>
    <t>HOURS</t>
  </si>
  <si>
    <t>Synensis Uitzendbureau B.V.</t>
  </si>
  <si>
    <t>KvK:  08160908</t>
  </si>
  <si>
    <t>BTWnr: 818134185B01</t>
  </si>
  <si>
    <t xml:space="preserve">BTW </t>
  </si>
  <si>
    <t xml:space="preserve">Please pay within 14 days of the invoice date, stating the invoice number and customer name.
Transfer to: NL18 ABNA 0121 0593 40. </t>
  </si>
  <si>
    <t>DATE 18-06-2023</t>
  </si>
  <si>
    <t>${invoiceNumber}</t>
  </si>
  <si>
    <t>${table:records.weekOfYear}</t>
  </si>
  <si>
    <t>${table:records.hours}</t>
  </si>
  <si>
    <t>Hoofdstraat 19c
7311 JS Apeldoorn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</si>
</sst>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&lt;=9999999]###\-####;\(###\)\ ###\-####"/>
    <numFmt numFmtId="165" formatCode="dd/mm/yyyy;@"/>
    <numFmt numFmtId="166" formatCode="[$£-809]#,##0.00"/>
    <numFmt numFmtId="167" formatCode="[$€-413]\ #,##0.00"/>
  </numFmts>
  <fonts count="5" x14ac:knownFonts="1">
    <font>
      <sz val="11"/>
      <color theme="4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horizontal="left" wrapText="1"/>
    </xf>
    <xf numFmtId="0" fontId="1" fillId="0" borderId="0" applyNumberFormat="0" applyFill="0" applyBorder="0" applyProtection="0"/>
    <xf numFmtId="0" fontId="2" fillId="0" borderId="0" applyNumberFormat="0" applyFill="0" applyBorder="0" applyProtection="0">
      <alignment horizontal="left"/>
    </xf>
    <xf numFmtId="0" fontId="3" fillId="0" borderId="0" applyNumberFormat="0" applyFill="0" applyBorder="0" applyProtection="0"/>
    <xf numFmtId="0" fontId="4" fillId="0" borderId="0" applyNumberFormat="0" applyFill="0" applyBorder="0" applyProtection="0">
      <alignment horizontal="right" indent="1"/>
    </xf>
    <xf numFmtId="0" fontId="2" fillId="0" borderId="0" applyNumberFormat="0" applyFill="0" applyBorder="0" applyProtection="0"/>
    <xf numFmtId="10" fontId="4" fillId="2" borderId="0" applyFont="0" applyBorder="0" applyAlignment="0" applyProtection="0">
      <alignment horizontal="left"/>
    </xf>
    <xf numFmtId="165" fontId="2" fillId="0" borderId="0" applyFill="0" applyBorder="0">
      <alignment horizontal="left"/>
    </xf>
    <xf numFmtId="166" fontId="4" fillId="2" borderId="0" applyFont="0" applyBorder="0" applyAlignment="0" applyProtection="0">
      <alignment horizontal="left"/>
    </xf>
    <xf numFmtId="0" fontId="4" fillId="0" borderId="0">
      <alignment horizontal="left" wrapText="1"/>
    </xf>
    <xf numFmtId="0" fontId="4" fillId="0" borderId="0">
      <alignment horizontal="left" vertical="top" wrapText="1"/>
    </xf>
    <xf numFmtId="164" fontId="4" fillId="0" borderId="0" applyFont="0" applyFill="0" applyBorder="0" applyAlignment="0">
      <alignment horizontal="left"/>
    </xf>
  </cellStyleXfs>
  <cellXfs count="17">
    <xf numFmtId="0" fontId="0" fillId="0" borderId="0" xfId="0">
      <alignment horizontal="left" wrapText="1"/>
    </xf>
    <xf numFmtId="0" fontId="2" fillId="0" borderId="0" xfId="2">
      <alignment horizontal="left"/>
    </xf>
    <xf numFmtId="0" fontId="2" fillId="0" borderId="0" xfId="5"/>
    <xf numFmtId="165" fontId="2" fillId="0" borderId="0" xfId="7">
      <alignment horizontal="left"/>
    </xf>
    <xf numFmtId="0" fontId="4" fillId="0" borderId="0" xfId="4">
      <alignment horizontal="right" indent="1"/>
    </xf>
    <xf numFmtId="0" fontId="3" fillId="0" borderId="0" xfId="3"/>
    <xf numFmtId="0" fontId="1" fillId="0" borderId="0" xfId="1"/>
    <xf numFmtId="0" fontId="2" fillId="0" borderId="0" xfId="5" applyFill="1" applyBorder="1"/>
    <xf numFmtId="164" fontId="0" fillId="0" borderId="0" xfId="11" applyFont="1">
      <alignment horizontal="left"/>
    </xf>
    <xf numFmtId="167" fontId="0" fillId="2" borderId="0" xfId="8" applyNumberFormat="1" applyFont="1" applyBorder="1">
      <alignment horizontal="left"/>
    </xf>
    <xf numFmtId="167" fontId="0" fillId="2" borderId="0" xfId="8" applyNumberFormat="1" applyFont="1">
      <alignment horizontal="left"/>
    </xf>
    <xf numFmtId="10" fontId="0" fillId="2" borderId="0" xfId="6" applyFont="1">
      <alignment horizontal="left"/>
    </xf>
    <xf numFmtId="0" fontId="0" fillId="0" borderId="0" xfId="4" applyFont="1">
      <alignment horizontal="right" indent="1"/>
    </xf>
    <xf numFmtId="167" fontId="0" fillId="2" borderId="0" xfId="6" applyNumberFormat="1" applyFont="1">
      <alignment horizontal="left"/>
    </xf>
    <xf numFmtId="0" fontId="4" fillId="0" borderId="0" xfId="10" applyAlignment="1">
      <alignment vertical="top" wrapText="1"/>
    </xf>
    <xf numFmtId="0" fontId="4" fillId="0" borderId="0" xfId="9" applyAlignment="1"/>
    <xf numFmtId="0" fontId="0" fillId="0" borderId="0" xfId="9" applyFont="1" applyAlignment="1"/>
  </cellXfs>
  <cellStyles count="12">
    <cellStyle name="Currency" xfId="8" builtinId="4" customBuiltin="1"/>
    <cellStyle name="Date" xfId="7" xr:uid="{00000000-0005-0000-0000-000001000000}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Per cent" xfId="6" builtinId="5" customBuiltin="1"/>
    <cellStyle name="Phone" xfId="11" xr:uid="{00000000-0005-0000-0000-000009000000}"/>
    <cellStyle name="Product Description" xfId="10" xr:uid="{00000000-0005-0000-0000-00000A000000}"/>
    <cellStyle name="Title" xfId="1" builtinId="15" customBuiltin="1"/>
  </cellStyles>
  <dxfs count="7">
    <dxf>
      <numFmt numFmtId="167" formatCode="[$€-413]\ #,##0.00"/>
    </dxf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 xr9:uid="{00000000-0011-0000-FFFF-FFFF00000000}">
      <tableStyleElement type="wholeTable" dxfId="6"/>
      <tableStyleElement type="headerRow" dxfId="5"/>
      <tableStyleElement type="totalRow" dxfId="4"/>
      <tableStyleElement type="lastColumn" dxfId="3"/>
      <tableStyleElement type="lastHeaderCell" dxfId="2"/>
      <tableStyleElement type="lastTotalCell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Details" displayName="InvoiceDetails" ref="B13:D14" headerRowCellStyle="Heading 4">
  <autoFilter ref="B13:D14" xr:uid="{00000000-0009-0000-0100-000001000000}"/>
  <tableColumns count="3">
    <tableColumn id="1" xr3:uid="{00000000-0010-0000-0000-000001000000}" name="WEEK NO." totalsRowLabel="Total" dataCellStyle="Normal"/>
    <tableColumn id="3" xr3:uid="{9D298594-278A-6047-8A7E-6980CA88F93D}" name="HOURS"/>
    <tableColumn id="2" xr3:uid="{00000000-0010-0000-0000-000002000000}" name="AMOUNT" totalsRowFunction="sum" dataDxfId="0" dataCellStyle="Currency">
      <calculatedColumnFormula>InvoiceDetails[[#This Row],[HOURS]]*25</calculatedColumnFormula>
    </tableColumn>
  </tableColumns>
  <tableStyleInfo name="Invoice" showFirstColumn="0" showLastColumn="1" showRowStripes="1" showColumnStripes="0"/>
  <extLst>
    <ext xmlns:x14="http://schemas.microsoft.com/office/spreadsheetml/2009/9/main" uri="{504A1905-F514-4f6f-8877-14C23A59335A}">
      <x14:table altTextSummary="Invoice Detail table for information about invoice items including a description of each invoice item and its amount"/>
    </ext>
  </extLst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D24"/>
  <sheetViews>
    <sheetView showGridLines="0" tabSelected="1" view="pageBreakPreview" zoomScale="125" zoomScaleNormal="100" workbookViewId="0">
      <selection activeCell="D20" sqref="D20"/>
    </sheetView>
  </sheetViews>
  <sheetFormatPr baseColWidth="10" defaultColWidth="8.83203125" defaultRowHeight="30" customHeight="1" x14ac:dyDescent="0.15"/>
  <cols>
    <col min="1" max="1" width="2.6640625" customWidth="1"/>
    <col min="2" max="3" width="50.6640625" customWidth="1"/>
    <col min="4" max="4" width="30.6640625" customWidth="1"/>
    <col min="5" max="5" width="2.6640625" customWidth="1"/>
  </cols>
  <sheetData>
    <row r="1" spans="2:4" ht="30" customHeight="1" x14ac:dyDescent="0.2">
      <c r="B1" s="1" t="s">
        <v>21</v>
      </c>
      <c r="C1" s="1"/>
    </row>
    <row r="2" spans="2:4" ht="50" customHeight="1" x14ac:dyDescent="0.35">
      <c r="B2" s="6" t="s">
        <v>7</v>
      </c>
      <c r="C2" s="6"/>
    </row>
    <row r="3" spans="2:4" ht="30" customHeight="1" x14ac:dyDescent="0.15">
      <c r="B3" t="s">
        <v>8</v>
      </c>
    </row>
    <row r="4" spans="2:4" ht="18" customHeight="1" x14ac:dyDescent="0.15">
      <c r="B4" s="8" t="s">
        <v>9</v>
      </c>
      <c r="C4" s="8"/>
    </row>
    <row r="5" spans="2:4" ht="18" customHeight="1" x14ac:dyDescent="0.15">
      <c r="B5" s="8" t="s">
        <v>13</v>
      </c>
      <c r="C5" s="8"/>
    </row>
    <row r="6" spans="2:4" ht="18" customHeight="1" x14ac:dyDescent="0.15">
      <c r="B6" s="8" t="s">
        <v>12</v>
      </c>
      <c r="C6" s="8"/>
    </row>
    <row r="7" spans="2:4" ht="25" customHeight="1" x14ac:dyDescent="0.2">
      <c r="B7" s="3" t="s">
        <v>20</v>
      </c>
      <c r="C7" s="3"/>
    </row>
    <row r="8" spans="2:4" ht="30" customHeight="1" x14ac:dyDescent="0.2">
      <c r="B8" s="5" t="s">
        <v>0</v>
      </c>
      <c r="C8" s="5"/>
      <c r="D8" s="5"/>
    </row>
    <row r="9" spans="2:4" ht="18" customHeight="1" x14ac:dyDescent="0.15">
      <c r="B9" t="s">
        <v>15</v>
      </c>
      <c r="D9" s="14"/>
    </row>
    <row r="10" spans="2:4" ht="30" customHeight="1" x14ac:dyDescent="0.15">
      <c r="B10" t="s">
        <v>24</v>
      </c>
      <c r="D10" s="14"/>
    </row>
    <row r="11" spans="2:4" ht="18" customHeight="1" x14ac:dyDescent="0.15">
      <c r="B11" s="8" t="s">
        <v>16</v>
      </c>
      <c r="C11" s="8"/>
      <c r="D11" s="14"/>
    </row>
    <row r="12" spans="2:4" ht="18" customHeight="1" x14ac:dyDescent="0.15">
      <c r="B12" s="8" t="s">
        <v>17</v>
      </c>
      <c r="C12" s="8"/>
      <c r="D12" s="14"/>
    </row>
    <row r="13" spans="2:4" ht="30" customHeight="1" x14ac:dyDescent="0.2">
      <c r="B13" s="2" t="s">
        <v>11</v>
      </c>
      <c r="C13" s="2" t="s">
        <v>14</v>
      </c>
      <c r="D13" s="7" t="s">
        <v>1</v>
      </c>
    </row>
    <row r="14" spans="2:4" ht="30" customHeight="1" x14ac:dyDescent="0.15">
      <c r="B14" t="s">
        <v>22</v>
      </c>
      <c r="C14" t="s">
        <v>23</v>
      </c>
      <c r="D14" s="9" t="e">
        <f>InvoiceDetails[[#This Row],[HOURS]]*25</f>
        <v>#VALUE!</v>
      </c>
    </row>
    <row r="15" spans="2:4" ht="30" customHeight="1" x14ac:dyDescent="0.15">
      <c r="D15" s="9"/>
    </row>
    <row r="16" spans="2:4" ht="30" customHeight="1" x14ac:dyDescent="0.15">
      <c r="B16" s="4"/>
      <c r="C16" s="4" t="s">
        <v>2</v>
      </c>
      <c r="D16" s="10" t="str">
        <f>IFERROR(SUM(InvoiceDetails[AMOUNT]), "")</f>
        <v/>
      </c>
    </row>
    <row r="17" spans="2:4" ht="30" customHeight="1" x14ac:dyDescent="0.15">
      <c r="B17" s="4"/>
      <c r="C17" s="4" t="s">
        <v>3</v>
      </c>
      <c r="D17" s="11">
        <v>0.21</v>
      </c>
    </row>
    <row r="18" spans="2:4" ht="30" customHeight="1" x14ac:dyDescent="0.15">
      <c r="B18" s="4"/>
      <c r="C18" s="12" t="s">
        <v>18</v>
      </c>
      <c r="D18" s="13" t="e">
        <f>D19-D16</f>
        <v>#VALUE!</v>
      </c>
    </row>
    <row r="19" spans="2:4" ht="30" customHeight="1" x14ac:dyDescent="0.15">
      <c r="B19" s="4"/>
      <c r="C19" s="4" t="s">
        <v>4</v>
      </c>
      <c r="D19" s="10" t="str">
        <f>IFERROR(D16*(1+D17), "")</f>
        <v/>
      </c>
    </row>
    <row r="20" spans="2:4" ht="30" customHeight="1" x14ac:dyDescent="0.15">
      <c r="B20" s="15" t="str">
        <f>"All checks payable to " &amp;Company_Name</f>
        <v>All checks payable to MTNA</v>
      </c>
      <c r="C20" s="15"/>
      <c r="D20" s="15"/>
    </row>
    <row r="21" spans="2:4" ht="30" customHeight="1" x14ac:dyDescent="0.15">
      <c r="B21" s="16" t="s">
        <v>19</v>
      </c>
      <c r="C21" s="15"/>
      <c r="D21" s="15"/>
    </row>
    <row r="22" spans="2:4" ht="30" customHeight="1" x14ac:dyDescent="0.15">
      <c r="B22" s="15" t="s">
        <v>6</v>
      </c>
      <c r="C22" s="15"/>
      <c r="D22" s="15"/>
    </row>
    <row r="23" spans="2:4" ht="30" customHeight="1" x14ac:dyDescent="0.15">
      <c r="B23" s="15" t="s">
        <v>10</v>
      </c>
      <c r="C23" s="15"/>
      <c r="D23" s="15"/>
    </row>
    <row r="24" spans="2:4" ht="30" customHeight="1" x14ac:dyDescent="0.2">
      <c r="B24" s="2" t="s">
        <v>5</v>
      </c>
      <c r="C24" s="2"/>
    </row>
  </sheetData>
  <printOptions horizontalCentered="1"/>
  <pageMargins left="0.4" right="0.4" top="0.4" bottom="0.4" header="0.3" footer="0.3"/>
  <pageSetup paperSize="9" scale="6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TM10000050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</vt:lpstr>
      <vt:lpstr>Company_Name</vt:lpstr>
      <vt:lpstr>Invoice!Print_Titles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Atik, Neveen</cp:lastModifiedBy>
  <cp:lastPrinted>2023-05-05T04:39:38Z</cp:lastPrinted>
  <dcterms:created xsi:type="dcterms:W3CDTF">2017-02-03T09:12:23Z</dcterms:created>
  <dcterms:modified xsi:type="dcterms:W3CDTF">2024-12-28T13:45:09Z</dcterms:modified>
</cp:coreProperties>
</file>